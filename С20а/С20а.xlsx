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D7DEC561-F43E-420E-856E-536A62618E4D}" xr6:coauthVersionLast="47" xr6:coauthVersionMax="47" xr10:uidLastSave="{00000000-0000-0000-0000-000000000000}"/>
  <bookViews>
    <workbookView xWindow="-120" yWindow="-120" windowWidth="29040" windowHeight="15720" xr2:uid="{5793F3CF-5E3F-4878-A4BF-5336648B99D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8" i="1" l="1"/>
  <c r="D22" i="1" s="1"/>
  <c r="L3" i="1"/>
  <c r="H27" i="1" a="1"/>
  <c r="H27" i="1" s="1"/>
  <c r="D35" i="1"/>
  <c r="D34" i="1"/>
  <c r="D33" i="1"/>
  <c r="D17" i="1"/>
  <c r="D18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3" i="1"/>
  <c r="D2" i="1"/>
  <c r="I27" i="1" l="1"/>
  <c r="I28" i="1"/>
  <c r="H28" i="1"/>
</calcChain>
</file>

<file path=xl/sharedStrings.xml><?xml version="1.0" encoding="utf-8"?>
<sst xmlns="http://schemas.openxmlformats.org/spreadsheetml/2006/main" count="46" uniqueCount="33">
  <si>
    <t>T</t>
  </si>
  <si>
    <t>U</t>
  </si>
  <si>
    <t>T [℃]</t>
  </si>
  <si>
    <t>U [mV]</t>
  </si>
  <si>
    <t>U [V]</t>
  </si>
  <si>
    <t xml:space="preserve">delta multimetra = </t>
  </si>
  <si>
    <t>zakres 500 mV</t>
  </si>
  <si>
    <t>1 dgt = 0,01 mV</t>
  </si>
  <si>
    <t>(+-)(0,03% rdg + 2*dgt) =</t>
  </si>
  <si>
    <t>= pm 0,02 [mV]</t>
  </si>
  <si>
    <t>delta termometra = pm 0,1 ℃</t>
  </si>
  <si>
    <t>dla Sanwa PC7000</t>
  </si>
  <si>
    <t xml:space="preserve"> [℃]</t>
  </si>
  <si>
    <t>u(T)</t>
  </si>
  <si>
    <t>u(U)</t>
  </si>
  <si>
    <t>alfa</t>
  </si>
  <si>
    <t>u(alfa)</t>
  </si>
  <si>
    <t>(u(alfa) / alfa) * 100%</t>
  </si>
  <si>
    <t>B</t>
  </si>
  <si>
    <t>u(B)</t>
  </si>
  <si>
    <t xml:space="preserve"> [mV]</t>
  </si>
  <si>
    <t xml:space="preserve"> [mV/ ℃]</t>
  </si>
  <si>
    <t>[%]</t>
  </si>
  <si>
    <t>rdg(reading) = $C2:$C16</t>
  </si>
  <si>
    <t>y = 0,0424x - 0,1204</t>
  </si>
  <si>
    <t>A</t>
  </si>
  <si>
    <t>wartość</t>
  </si>
  <si>
    <t>niepewność</t>
  </si>
  <si>
    <t xml:space="preserve">T </t>
  </si>
  <si>
    <t>S</t>
  </si>
  <si>
    <t>Srednia U =</t>
  </si>
  <si>
    <t>0,1/sqrt(3)</t>
  </si>
  <si>
    <t>0,02/sqrt(3)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</si>
</sst>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charset val="204"/>
      <scheme val="minor"/>
    </font>
    <font>
      <sz val="16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6"/>
      <color rgb="FF000000"/>
      <name val="Aptos Narrow"/>
      <family val="2"/>
      <charset val="204"/>
      <scheme val="minor"/>
    </font>
    <font>
      <sz val="1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Cechowanie termopary </a:t>
            </a:r>
            <a:endParaRPr lang="en-US"/>
          </a:p>
        </c:rich>
      </c:tx>
      <c:layout>
        <c:manualLayout>
          <c:xMode val="edge"/>
          <c:yMode val="edge"/>
          <c:x val="0.43104884781016528"/>
          <c:y val="2.1120788523083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033560464437909E-2"/>
          <c:y val="7.2292672705853808E-2"/>
          <c:w val="0.91001776270010826"/>
          <c:h val="0.82599834711587938"/>
        </c:manualLayout>
      </c:layout>
      <c:scatterChart>
        <c:scatterStyle val="lineMarker"/>
        <c:varyColors val="0"/>
        <c:ser>
          <c:idx val="0"/>
          <c:order val="0"/>
          <c:tx>
            <c:v>Dane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5.7797400810120948E-2"/>
                  <c:y val="-3.87076646024333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736-467D-8D2F-438C9E84B574}"/>
                </c:ext>
              </c:extLst>
            </c:dLbl>
            <c:dLbl>
              <c:idx val="5"/>
              <c:layout>
                <c:manualLayout>
                  <c:x val="-2.7960608425478237E-2"/>
                  <c:y val="-2.8376244539692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53-4BDE-9FD4-7080B4AFA102}"/>
                </c:ext>
              </c:extLst>
            </c:dLbl>
            <c:dLbl>
              <c:idx val="6"/>
              <c:layout>
                <c:manualLayout>
                  <c:x val="-1.2597870754021903E-2"/>
                  <c:y val="3.21192904017926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36-467D-8D2F-438C9E84B574}"/>
                </c:ext>
              </c:extLst>
            </c:dLbl>
            <c:dLbl>
              <c:idx val="7"/>
              <c:layout>
                <c:manualLayout>
                  <c:x val="-6.1143641414230274E-2"/>
                  <c:y val="-2.9433359400271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53-4BDE-9FD4-7080B4AFA102}"/>
                </c:ext>
              </c:extLst>
            </c:dLbl>
            <c:dLbl>
              <c:idx val="8"/>
              <c:layout>
                <c:manualLayout>
                  <c:x val="-2.5543747218450433E-2"/>
                  <c:y val="-3.2250493619993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53-4BDE-9FD4-7080B4AFA102}"/>
                </c:ext>
              </c:extLst>
            </c:dLbl>
            <c:dLbl>
              <c:idx val="9"/>
              <c:layout>
                <c:manualLayout>
                  <c:x val="-2.8922174426689328E-2"/>
                  <c:y val="-3.80009665624337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53-4BDE-9FD4-7080B4AFA102}"/>
                </c:ext>
              </c:extLst>
            </c:dLbl>
            <c:dLbl>
              <c:idx val="11"/>
              <c:layout>
                <c:manualLayout>
                  <c:x val="-1.0423999708444391E-2"/>
                  <c:y val="4.7017436460292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736-467D-8D2F-438C9E84B574}"/>
                </c:ext>
              </c:extLst>
            </c:dLbl>
            <c:dLbl>
              <c:idx val="12"/>
              <c:layout>
                <c:manualLayout>
                  <c:x val="-2.3982399546989268E-2"/>
                  <c:y val="6.224260596340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36-467D-8D2F-438C9E84B574}"/>
                </c:ext>
              </c:extLst>
            </c:dLbl>
            <c:dLbl>
              <c:idx val="13"/>
              <c:layout>
                <c:manualLayout>
                  <c:x val="-5.7867501104397645E-2"/>
                  <c:y val="-4.5036001024115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736-467D-8D2F-438C9E84B574}"/>
                </c:ext>
              </c:extLst>
            </c:dLbl>
            <c:dLbl>
              <c:idx val="14"/>
              <c:layout>
                <c:manualLayout>
                  <c:x val="-3.7528730872430194E-2"/>
                  <c:y val="-2.9670066156898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36-467D-8D2F-438C9E84B574}"/>
                </c:ext>
              </c:extLst>
            </c:dLbl>
            <c:dLbl>
              <c:idx val="16"/>
              <c:layout>
                <c:manualLayout>
                  <c:x val="1.3345990276088827E-2"/>
                  <c:y val="1.8456454975130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36-467D-8D2F-438C9E84B574}"/>
                </c:ext>
              </c:extLst>
            </c:dLbl>
            <c:dLbl>
              <c:idx val="17"/>
              <c:layout>
                <c:manualLayout>
                  <c:x val="-3.8590749238367972E-2"/>
                  <c:y val="5.47015537175784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36-467D-8D2F-438C9E84B5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989232965445251"/>
                  <c:y val="-5.96842013559520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0,0424x - 0,1204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 w="15875" cap="sq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Arkusz1!$F$3:$F$20</c:f>
              <c:numCache>
                <c:formatCode>General</c:formatCode>
                <c:ptCount val="18"/>
                <c:pt idx="0">
                  <c:v>33</c:v>
                </c:pt>
                <c:pt idx="1">
                  <c:v>35</c:v>
                </c:pt>
                <c:pt idx="2">
                  <c:v>37</c:v>
                </c:pt>
                <c:pt idx="3">
                  <c:v>39</c:v>
                </c:pt>
                <c:pt idx="4">
                  <c:v>41</c:v>
                </c:pt>
                <c:pt idx="5">
                  <c:v>43</c:v>
                </c:pt>
                <c:pt idx="6">
                  <c:v>45</c:v>
                </c:pt>
                <c:pt idx="7">
                  <c:v>47</c:v>
                </c:pt>
                <c:pt idx="8">
                  <c:v>49</c:v>
                </c:pt>
                <c:pt idx="9">
                  <c:v>51</c:v>
                </c:pt>
                <c:pt idx="10">
                  <c:v>53</c:v>
                </c:pt>
                <c:pt idx="11">
                  <c:v>55</c:v>
                </c:pt>
                <c:pt idx="12">
                  <c:v>57</c:v>
                </c:pt>
                <c:pt idx="13">
                  <c:v>58</c:v>
                </c:pt>
                <c:pt idx="14">
                  <c:v>60</c:v>
                </c:pt>
                <c:pt idx="16">
                  <c:v>35.700000000000003</c:v>
                </c:pt>
                <c:pt idx="17">
                  <c:v>35</c:v>
                </c:pt>
              </c:numCache>
            </c:numRef>
          </c:xVal>
          <c:yVal>
            <c:numRef>
              <c:f>Arkusz1!$H$3:$H$20</c:f>
              <c:numCache>
                <c:formatCode>0.00</c:formatCode>
                <c:ptCount val="18"/>
                <c:pt idx="0">
                  <c:v>1.3</c:v>
                </c:pt>
                <c:pt idx="1">
                  <c:v>1.38</c:v>
                </c:pt>
                <c:pt idx="2">
                  <c:v>1.46</c:v>
                </c:pt>
                <c:pt idx="3">
                  <c:v>1.53</c:v>
                </c:pt>
                <c:pt idx="4">
                  <c:v>1.62</c:v>
                </c:pt>
                <c:pt idx="5">
                  <c:v>1.7</c:v>
                </c:pt>
                <c:pt idx="6">
                  <c:v>1.77</c:v>
                </c:pt>
                <c:pt idx="7">
                  <c:v>1.87</c:v>
                </c:pt>
                <c:pt idx="8">
                  <c:v>1.95</c:v>
                </c:pt>
                <c:pt idx="9">
                  <c:v>2.0299999999999998</c:v>
                </c:pt>
                <c:pt idx="10">
                  <c:v>2.15</c:v>
                </c:pt>
                <c:pt idx="11">
                  <c:v>2.21</c:v>
                </c:pt>
                <c:pt idx="12">
                  <c:v>2.27</c:v>
                </c:pt>
                <c:pt idx="13">
                  <c:v>2.35</c:v>
                </c:pt>
                <c:pt idx="14">
                  <c:v>2.44</c:v>
                </c:pt>
                <c:pt idx="16" formatCode="General">
                  <c:v>1.35</c:v>
                </c:pt>
                <c:pt idx="17" formatCode="General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6-467D-8D2F-438C9E84B574}"/>
            </c:ext>
          </c:extLst>
        </c:ser>
        <c:ser>
          <c:idx val="1"/>
          <c:order val="1"/>
          <c:tx>
            <c:v>Pola niepewności</c:v>
          </c:tx>
          <c:spPr>
            <a:ln w="25400" cap="rnd">
              <a:noFill/>
              <a:round/>
            </a:ln>
            <a:effectLst>
              <a:outerShdw blurRad="50800" dist="50800" dir="5400000" sx="2000" sy="2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2"/>
            <c:spPr>
              <a:solidFill>
                <a:schemeClr val="tx1"/>
              </a:solidFill>
              <a:ln w="3175">
                <a:noFill/>
              </a:ln>
              <a:effectLst>
                <a:outerShdw blurRad="50800" dist="50800" dir="5400000" sx="2000" sy="2000" algn="ctr" rotWithShape="0">
                  <a:srgbClr val="000000">
                    <a:alpha val="43137"/>
                  </a:srgbClr>
                </a:outerShdw>
              </a:effectLst>
            </c:spPr>
          </c:marker>
          <c:dLbls>
            <c:delete val="1"/>
          </c:dLbls>
          <c:errBars>
            <c:errDir val="x"/>
            <c:errBarType val="both"/>
            <c:errValType val="fixedVal"/>
            <c:noEndCap val="0"/>
            <c:val val="0.1"/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2.0000000000000004E-2"/>
            <c:spPr>
              <a:noFill/>
              <a:ln w="19050" cap="flat" cmpd="sng" algn="ctr">
                <a:solidFill>
                  <a:srgbClr val="FF0000"/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errBars>
          <c:xVal>
            <c:numRef>
              <c:f>Arkusz1!$B$33:$B$35</c:f>
              <c:numCache>
                <c:formatCode>General</c:formatCode>
                <c:ptCount val="3"/>
                <c:pt idx="0">
                  <c:v>35</c:v>
                </c:pt>
                <c:pt idx="1">
                  <c:v>47</c:v>
                </c:pt>
                <c:pt idx="2">
                  <c:v>58</c:v>
                </c:pt>
              </c:numCache>
            </c:numRef>
          </c:xVal>
          <c:yVal>
            <c:numRef>
              <c:f>Arkusz1!$C$33:$C$35</c:f>
              <c:numCache>
                <c:formatCode>0.00</c:formatCode>
                <c:ptCount val="3"/>
                <c:pt idx="0">
                  <c:v>1.38</c:v>
                </c:pt>
                <c:pt idx="1">
                  <c:v>1.87</c:v>
                </c:pt>
                <c:pt idx="2">
                  <c:v>2.35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53-4BDE-9FD4-7080B4AFA1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74607791"/>
        <c:axId val="1974608271"/>
      </c:scatterChart>
      <c:valAx>
        <c:axId val="1974607791"/>
        <c:scaling>
          <c:orientation val="minMax"/>
          <c:max val="62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Temperatura</a:t>
                </a:r>
                <a:r>
                  <a:rPr lang="pl-PL" baseline="0"/>
                  <a:t> </a:t>
                </a:r>
                <a:r>
                  <a:rPr lang="pl-PL" sz="1200" b="0" i="0" u="none" strike="noStrike" baseline="0">
                    <a:effectLst/>
                  </a:rPr>
                  <a:t> [℃] 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4608271"/>
        <c:crosses val="autoZero"/>
        <c:crossBetween val="midCat"/>
      </c:valAx>
      <c:valAx>
        <c:axId val="1974608271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Napi</a:t>
                </a:r>
                <a:r>
                  <a:rPr lang="pl-PL" baseline="0"/>
                  <a:t>ęcie  </a:t>
                </a:r>
                <a:r>
                  <a:rPr lang="pl-PL"/>
                  <a:t>[mV]</a:t>
                </a:r>
              </a:p>
            </c:rich>
          </c:tx>
          <c:layout>
            <c:manualLayout>
              <c:xMode val="edge"/>
              <c:yMode val="edge"/>
              <c:x val="8.8478255275693321E-3"/>
              <c:y val="0.422498155608912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4607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7.4953231473768353E-2"/>
          <c:y val="8.1289706218914473E-2"/>
          <c:w val="0.10990225939347659"/>
          <c:h val="9.8208983069683994E-2"/>
        </c:manualLayout>
      </c:layout>
      <c:overlay val="0"/>
      <c:spPr>
        <a:noFill/>
        <a:ln w="12700"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497007</xdr:colOff>
      <xdr:row>3</xdr:row>
      <xdr:rowOff>257659</xdr:rowOff>
    </xdr:from>
    <xdr:to>
      <xdr:col>36</xdr:col>
      <xdr:colOff>255133</xdr:colOff>
      <xdr:row>24</xdr:row>
      <xdr:rowOff>34018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6603733-820F-0970-A014-99931907F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45C6-2028-4C05-99C0-16BE9040DC12}">
  <dimension ref="A1:N51"/>
  <sheetViews>
    <sheetView tabSelected="1" topLeftCell="A7" zoomScale="70" zoomScaleNormal="70" workbookViewId="0">
      <selection activeCell="J23" sqref="J23"/>
    </sheetView>
  </sheetViews>
  <sheetFormatPr defaultRowHeight="21" x14ac:dyDescent="0.35"/>
  <cols>
    <col min="1" max="1" width="19" style="2" customWidth="1"/>
    <col min="2" max="2" width="16.42578125" style="2" customWidth="1"/>
    <col min="3" max="3" width="24.5703125" style="2" customWidth="1"/>
    <col min="4" max="4" width="25" style="2" customWidth="1"/>
    <col min="5" max="5" width="18.5703125" style="2" customWidth="1"/>
    <col min="6" max="11" width="17.28515625" style="2" customWidth="1"/>
    <col min="12" max="12" width="19.140625" style="2" customWidth="1"/>
    <col min="13" max="14" width="17.28515625" style="2" customWidth="1"/>
    <col min="15" max="20" width="13.42578125" style="2" customWidth="1"/>
    <col min="21" max="16384" width="9.140625" style="2"/>
  </cols>
  <sheetData>
    <row r="1" spans="2:14" ht="41.25" customHeight="1" x14ac:dyDescent="0.35">
      <c r="B1" s="1" t="s">
        <v>2</v>
      </c>
      <c r="C1" s="1" t="s">
        <v>3</v>
      </c>
      <c r="D1" s="1" t="s">
        <v>4</v>
      </c>
      <c r="F1" s="5" t="s">
        <v>0</v>
      </c>
      <c r="G1" s="5" t="s">
        <v>13</v>
      </c>
      <c r="H1" s="5" t="s">
        <v>1</v>
      </c>
      <c r="I1" s="5" t="s">
        <v>14</v>
      </c>
      <c r="J1" s="5" t="s">
        <v>15</v>
      </c>
      <c r="K1" s="5" t="s">
        <v>16</v>
      </c>
      <c r="L1" s="8" t="s">
        <v>17</v>
      </c>
      <c r="M1" s="5" t="s">
        <v>18</v>
      </c>
      <c r="N1" s="5" t="s">
        <v>19</v>
      </c>
    </row>
    <row r="2" spans="2:14" ht="28.5" customHeight="1" thickBot="1" x14ac:dyDescent="0.4">
      <c r="B2" s="1">
        <v>33</v>
      </c>
      <c r="C2" s="3">
        <v>1.3</v>
      </c>
      <c r="D2" s="1">
        <f>$C2/1000</f>
        <v>1.2999999999999999E-3</v>
      </c>
      <c r="F2" s="6" t="s">
        <v>12</v>
      </c>
      <c r="G2" s="6" t="s">
        <v>12</v>
      </c>
      <c r="H2" s="6" t="s">
        <v>20</v>
      </c>
      <c r="I2" s="6" t="s">
        <v>20</v>
      </c>
      <c r="J2" s="9" t="s">
        <v>21</v>
      </c>
      <c r="K2" s="6" t="s">
        <v>21</v>
      </c>
      <c r="L2" s="6" t="s">
        <v>22</v>
      </c>
      <c r="M2" s="6" t="s">
        <v>20</v>
      </c>
      <c r="N2" s="6" t="s">
        <v>20</v>
      </c>
    </row>
    <row r="3" spans="2:14" ht="28.5" customHeight="1" x14ac:dyDescent="0.35">
      <c r="B3" s="1">
        <v>35</v>
      </c>
      <c r="C3" s="3">
        <v>1.38</v>
      </c>
      <c r="D3" s="1">
        <f>$C3/1000</f>
        <v>1.3799999999999999E-3</v>
      </c>
      <c r="F3" s="7">
        <v>33</v>
      </c>
      <c r="G3" s="26" t="s">
        <v>31</v>
      </c>
      <c r="H3" s="11">
        <v>1.3</v>
      </c>
      <c r="I3" s="26" t="s">
        <v>32</v>
      </c>
      <c r="J3" s="26">
        <v>4.2389999999999997E-2</v>
      </c>
      <c r="K3" s="26">
        <v>5.0199999999999995E-4</v>
      </c>
      <c r="L3" s="23">
        <f>($K$3/$J$3)</f>
        <v>1.1842415664071715E-2</v>
      </c>
      <c r="M3" s="26">
        <v>0.12039999999999999</v>
      </c>
      <c r="N3" s="26">
        <v>2.3264E-2</v>
      </c>
    </row>
    <row r="4" spans="2:14" ht="28.5" customHeight="1" x14ac:dyDescent="0.35">
      <c r="B4" s="1">
        <v>37</v>
      </c>
      <c r="C4" s="3">
        <v>1.46</v>
      </c>
      <c r="D4" s="1">
        <f t="shared" ref="D4:D16" si="0">$C4/1000</f>
        <v>1.4599999999999999E-3</v>
      </c>
      <c r="F4" s="5">
        <v>35</v>
      </c>
      <c r="G4" s="27"/>
      <c r="H4" s="10">
        <v>1.38</v>
      </c>
      <c r="I4" s="27"/>
      <c r="J4" s="27"/>
      <c r="K4" s="27"/>
      <c r="L4" s="24"/>
      <c r="M4" s="27"/>
      <c r="N4" s="27"/>
    </row>
    <row r="5" spans="2:14" ht="28.5" customHeight="1" x14ac:dyDescent="0.35">
      <c r="B5" s="1">
        <v>39</v>
      </c>
      <c r="C5" s="3">
        <v>1.53</v>
      </c>
      <c r="D5" s="1">
        <f t="shared" si="0"/>
        <v>1.5300000000000001E-3</v>
      </c>
      <c r="F5" s="5">
        <v>37</v>
      </c>
      <c r="G5" s="27"/>
      <c r="H5" s="10">
        <v>1.46</v>
      </c>
      <c r="I5" s="27"/>
      <c r="J5" s="27"/>
      <c r="K5" s="27"/>
      <c r="L5" s="24"/>
      <c r="M5" s="27"/>
      <c r="N5" s="27"/>
    </row>
    <row r="6" spans="2:14" ht="28.5" customHeight="1" x14ac:dyDescent="0.35">
      <c r="B6" s="1">
        <v>41</v>
      </c>
      <c r="C6" s="3">
        <v>1.62</v>
      </c>
      <c r="D6" s="1">
        <f t="shared" si="0"/>
        <v>1.6200000000000001E-3</v>
      </c>
      <c r="F6" s="5">
        <v>39</v>
      </c>
      <c r="G6" s="27"/>
      <c r="H6" s="10">
        <v>1.53</v>
      </c>
      <c r="I6" s="27"/>
      <c r="J6" s="27"/>
      <c r="K6" s="27"/>
      <c r="L6" s="24"/>
      <c r="M6" s="27"/>
      <c r="N6" s="27"/>
    </row>
    <row r="7" spans="2:14" ht="28.5" customHeight="1" x14ac:dyDescent="0.35">
      <c r="B7" s="1">
        <v>43</v>
      </c>
      <c r="C7" s="3">
        <v>1.7</v>
      </c>
      <c r="D7" s="1">
        <f t="shared" si="0"/>
        <v>1.6999999999999999E-3</v>
      </c>
      <c r="F7" s="5">
        <v>41</v>
      </c>
      <c r="G7" s="27"/>
      <c r="H7" s="10">
        <v>1.62</v>
      </c>
      <c r="I7" s="27"/>
      <c r="J7" s="27"/>
      <c r="K7" s="27"/>
      <c r="L7" s="24"/>
      <c r="M7" s="27"/>
      <c r="N7" s="27"/>
    </row>
    <row r="8" spans="2:14" ht="28.5" customHeight="1" x14ac:dyDescent="0.35">
      <c r="B8" s="1">
        <v>45</v>
      </c>
      <c r="C8" s="3">
        <v>1.77</v>
      </c>
      <c r="D8" s="1">
        <f t="shared" si="0"/>
        <v>1.7700000000000001E-3</v>
      </c>
      <c r="F8" s="5">
        <v>43</v>
      </c>
      <c r="G8" s="27"/>
      <c r="H8" s="10">
        <v>1.7</v>
      </c>
      <c r="I8" s="27"/>
      <c r="J8" s="27"/>
      <c r="K8" s="27"/>
      <c r="L8" s="24"/>
      <c r="M8" s="27"/>
      <c r="N8" s="27"/>
    </row>
    <row r="9" spans="2:14" ht="28.5" customHeight="1" x14ac:dyDescent="0.35">
      <c r="B9" s="1">
        <v>47</v>
      </c>
      <c r="C9" s="3">
        <v>1.87</v>
      </c>
      <c r="D9" s="1">
        <f t="shared" si="0"/>
        <v>1.8700000000000001E-3</v>
      </c>
      <c r="F9" s="5">
        <v>45</v>
      </c>
      <c r="G9" s="27"/>
      <c r="H9" s="10">
        <v>1.77</v>
      </c>
      <c r="I9" s="27"/>
      <c r="J9" s="27"/>
      <c r="K9" s="27"/>
      <c r="L9" s="24"/>
      <c r="M9" s="27"/>
      <c r="N9" s="27"/>
    </row>
    <row r="10" spans="2:14" ht="28.5" customHeight="1" x14ac:dyDescent="0.35">
      <c r="B10" s="1">
        <v>49</v>
      </c>
      <c r="C10" s="3">
        <v>1.95</v>
      </c>
      <c r="D10" s="1">
        <f t="shared" si="0"/>
        <v>1.9499999999999999E-3</v>
      </c>
      <c r="F10" s="5">
        <v>47</v>
      </c>
      <c r="G10" s="27"/>
      <c r="H10" s="10">
        <v>1.87</v>
      </c>
      <c r="I10" s="27"/>
      <c r="J10" s="27"/>
      <c r="K10" s="27"/>
      <c r="L10" s="24"/>
      <c r="M10" s="27"/>
      <c r="N10" s="27"/>
    </row>
    <row r="11" spans="2:14" ht="28.5" customHeight="1" x14ac:dyDescent="0.35">
      <c r="B11" s="1">
        <v>51</v>
      </c>
      <c r="C11" s="3">
        <v>2.0299999999999998</v>
      </c>
      <c r="D11" s="1">
        <f t="shared" si="0"/>
        <v>2.0299999999999997E-3</v>
      </c>
      <c r="F11" s="5">
        <v>49</v>
      </c>
      <c r="G11" s="27"/>
      <c r="H11" s="10">
        <v>1.95</v>
      </c>
      <c r="I11" s="27"/>
      <c r="J11" s="27"/>
      <c r="K11" s="27"/>
      <c r="L11" s="24"/>
      <c r="M11" s="27"/>
      <c r="N11" s="27"/>
    </row>
    <row r="12" spans="2:14" ht="28.5" customHeight="1" x14ac:dyDescent="0.35">
      <c r="B12" s="1">
        <v>53</v>
      </c>
      <c r="C12" s="3">
        <v>2.15</v>
      </c>
      <c r="D12" s="1">
        <f t="shared" si="0"/>
        <v>2.15E-3</v>
      </c>
      <c r="F12" s="5">
        <v>51</v>
      </c>
      <c r="G12" s="27"/>
      <c r="H12" s="10">
        <v>2.0299999999999998</v>
      </c>
      <c r="I12" s="27"/>
      <c r="J12" s="27"/>
      <c r="K12" s="27"/>
      <c r="L12" s="24"/>
      <c r="M12" s="27"/>
      <c r="N12" s="27"/>
    </row>
    <row r="13" spans="2:14" ht="28.5" customHeight="1" x14ac:dyDescent="0.35">
      <c r="B13" s="1">
        <v>55</v>
      </c>
      <c r="C13" s="3">
        <v>2.21</v>
      </c>
      <c r="D13" s="1">
        <f t="shared" si="0"/>
        <v>2.2100000000000002E-3</v>
      </c>
      <c r="F13" s="5">
        <v>53</v>
      </c>
      <c r="G13" s="27"/>
      <c r="H13" s="10">
        <v>2.15</v>
      </c>
      <c r="I13" s="27"/>
      <c r="J13" s="27"/>
      <c r="K13" s="27"/>
      <c r="L13" s="24"/>
      <c r="M13" s="27"/>
      <c r="N13" s="27"/>
    </row>
    <row r="14" spans="2:14" ht="28.5" customHeight="1" x14ac:dyDescent="0.35">
      <c r="B14" s="1">
        <v>57</v>
      </c>
      <c r="C14" s="3">
        <v>2.27</v>
      </c>
      <c r="D14" s="1">
        <f t="shared" si="0"/>
        <v>2.2699999999999999E-3</v>
      </c>
      <c r="F14" s="5">
        <v>55</v>
      </c>
      <c r="G14" s="27"/>
      <c r="H14" s="10">
        <v>2.21</v>
      </c>
      <c r="I14" s="27"/>
      <c r="J14" s="27"/>
      <c r="K14" s="27"/>
      <c r="L14" s="24"/>
      <c r="M14" s="27"/>
      <c r="N14" s="27"/>
    </row>
    <row r="15" spans="2:14" ht="28.5" customHeight="1" x14ac:dyDescent="0.35">
      <c r="B15" s="1">
        <v>58</v>
      </c>
      <c r="C15" s="3">
        <v>2.35</v>
      </c>
      <c r="D15" s="1">
        <f t="shared" si="0"/>
        <v>2.3500000000000001E-3</v>
      </c>
      <c r="F15" s="5">
        <v>57</v>
      </c>
      <c r="G15" s="27"/>
      <c r="H15" s="10">
        <v>2.27</v>
      </c>
      <c r="I15" s="27"/>
      <c r="J15" s="27"/>
      <c r="K15" s="27"/>
      <c r="L15" s="24"/>
      <c r="M15" s="27"/>
      <c r="N15" s="27"/>
    </row>
    <row r="16" spans="2:14" ht="28.5" customHeight="1" x14ac:dyDescent="0.35">
      <c r="B16" s="1">
        <v>60</v>
      </c>
      <c r="C16" s="3">
        <v>2.44</v>
      </c>
      <c r="D16" s="1">
        <f t="shared" si="0"/>
        <v>2.4399999999999999E-3</v>
      </c>
      <c r="F16" s="5">
        <v>58</v>
      </c>
      <c r="G16" s="27"/>
      <c r="H16" s="10">
        <v>2.35</v>
      </c>
      <c r="I16" s="27"/>
      <c r="J16" s="27"/>
      <c r="K16" s="27"/>
      <c r="L16" s="24"/>
      <c r="M16" s="27"/>
      <c r="N16" s="27"/>
    </row>
    <row r="17" spans="1:14" ht="28.5" customHeight="1" x14ac:dyDescent="0.35">
      <c r="A17" s="2" t="s">
        <v>28</v>
      </c>
      <c r="B17" s="1">
        <v>35.700000000000003</v>
      </c>
      <c r="C17" s="1">
        <v>1.35</v>
      </c>
      <c r="D17" s="1">
        <f>$C17/1000</f>
        <v>1.3500000000000001E-3</v>
      </c>
      <c r="F17" s="5">
        <v>60</v>
      </c>
      <c r="G17" s="27"/>
      <c r="H17" s="10">
        <v>2.44</v>
      </c>
      <c r="I17" s="27"/>
      <c r="J17" s="27"/>
      <c r="K17" s="27"/>
      <c r="L17" s="24"/>
      <c r="M17" s="27"/>
      <c r="N17" s="27"/>
    </row>
    <row r="18" spans="1:14" ht="28.5" customHeight="1" x14ac:dyDescent="0.35">
      <c r="A18" s="2" t="s">
        <v>29</v>
      </c>
      <c r="B18" s="1">
        <v>35</v>
      </c>
      <c r="C18" s="1">
        <v>1.37</v>
      </c>
      <c r="D18" s="1">
        <f>$C18/1000</f>
        <v>1.3700000000000001E-3</v>
      </c>
      <c r="F18" s="4"/>
      <c r="G18" s="27"/>
      <c r="H18" s="4"/>
      <c r="I18" s="27"/>
      <c r="J18" s="27"/>
      <c r="K18" s="27"/>
      <c r="L18" s="24"/>
      <c r="M18" s="27"/>
      <c r="N18" s="27"/>
    </row>
    <row r="19" spans="1:14" ht="28.5" customHeight="1" x14ac:dyDescent="0.35">
      <c r="F19" s="5">
        <v>35.700000000000003</v>
      </c>
      <c r="G19" s="27"/>
      <c r="H19" s="5">
        <v>1.35</v>
      </c>
      <c r="I19" s="27"/>
      <c r="J19" s="27"/>
      <c r="K19" s="27"/>
      <c r="L19" s="24"/>
      <c r="M19" s="27"/>
      <c r="N19" s="27"/>
    </row>
    <row r="20" spans="1:14" ht="28.5" customHeight="1" x14ac:dyDescent="0.35">
      <c r="F20" s="5">
        <v>35</v>
      </c>
      <c r="G20" s="22"/>
      <c r="H20" s="5">
        <v>1.37</v>
      </c>
      <c r="I20" s="22"/>
      <c r="J20" s="22"/>
      <c r="K20" s="22"/>
      <c r="L20" s="25"/>
      <c r="M20" s="22"/>
      <c r="N20" s="22"/>
    </row>
    <row r="22" spans="1:14" ht="63" x14ac:dyDescent="0.35">
      <c r="A22" s="16" t="s">
        <v>10</v>
      </c>
      <c r="B22" s="8" t="s">
        <v>5</v>
      </c>
      <c r="C22" s="12" t="s">
        <v>8</v>
      </c>
      <c r="D22" s="14">
        <f>0.03/100 *$B$28 + 2*0.01</f>
        <v>2.054264705882353E-2</v>
      </c>
      <c r="E22" s="15" t="s">
        <v>9</v>
      </c>
    </row>
    <row r="23" spans="1:14" ht="24" customHeight="1" x14ac:dyDescent="0.35">
      <c r="A23" s="4">
        <v>0.1</v>
      </c>
      <c r="B23" s="4"/>
      <c r="C23" s="13" t="s">
        <v>6</v>
      </c>
      <c r="D23" s="4"/>
      <c r="E23" s="4">
        <v>0.02</v>
      </c>
    </row>
    <row r="24" spans="1:14" ht="44.25" customHeight="1" x14ac:dyDescent="0.35">
      <c r="A24" s="4"/>
      <c r="B24" s="4"/>
      <c r="C24" s="13" t="s">
        <v>23</v>
      </c>
      <c r="D24" s="4"/>
      <c r="E24" s="4"/>
    </row>
    <row r="25" spans="1:14" x14ac:dyDescent="0.35">
      <c r="A25" s="4"/>
      <c r="B25" s="4"/>
      <c r="C25" s="4"/>
      <c r="D25" s="4"/>
      <c r="E25" s="4"/>
    </row>
    <row r="26" spans="1:14" ht="37.5" x14ac:dyDescent="0.35">
      <c r="A26" s="4"/>
      <c r="B26" s="4"/>
      <c r="C26" s="13" t="s">
        <v>7</v>
      </c>
      <c r="D26" s="4"/>
      <c r="E26" s="4"/>
      <c r="G26" s="20" t="s">
        <v>24</v>
      </c>
      <c r="H26" s="19" t="s">
        <v>25</v>
      </c>
      <c r="I26" s="19" t="s">
        <v>18</v>
      </c>
    </row>
    <row r="27" spans="1:14" x14ac:dyDescent="0.35">
      <c r="A27" s="4"/>
      <c r="B27" s="4"/>
      <c r="C27" s="4" t="s">
        <v>11</v>
      </c>
      <c r="D27" s="4"/>
      <c r="E27" s="4"/>
      <c r="G27" s="4" t="s">
        <v>26</v>
      </c>
      <c r="H27" s="19">
        <f t="array" ref="H27:I28">LINEST($C$2:$C$18,$B$2:$B$18,TRUE,TRUE)</f>
        <v>4.2390060914877944E-2</v>
      </c>
      <c r="I27" s="19">
        <v>-0.12042294881418014</v>
      </c>
    </row>
    <row r="28" spans="1:14" x14ac:dyDescent="0.35">
      <c r="A28" s="5" t="s">
        <v>30</v>
      </c>
      <c r="B28" s="17">
        <f>SUM($C2:$C18)/COUNT($C2:$C18)</f>
        <v>1.8088235294117649</v>
      </c>
      <c r="C28" s="4"/>
      <c r="D28" s="4"/>
      <c r="E28" s="4"/>
      <c r="G28" s="4" t="s">
        <v>27</v>
      </c>
      <c r="H28" s="19">
        <v>5.0196785116696338E-4</v>
      </c>
      <c r="I28" s="19">
        <v>2.3264619597541458E-2</v>
      </c>
    </row>
    <row r="32" spans="1:14" x14ac:dyDescent="0.35">
      <c r="B32" s="5" t="s">
        <v>2</v>
      </c>
      <c r="C32" s="5" t="s">
        <v>3</v>
      </c>
      <c r="D32" s="5" t="s">
        <v>4</v>
      </c>
      <c r="E32" s="5" t="s">
        <v>13</v>
      </c>
      <c r="F32" s="5" t="s">
        <v>14</v>
      </c>
    </row>
    <row r="33" spans="2:6" x14ac:dyDescent="0.35">
      <c r="B33" s="5">
        <v>35</v>
      </c>
      <c r="C33" s="10">
        <v>1.38</v>
      </c>
      <c r="D33" s="5">
        <f>$C33/1000</f>
        <v>1.3799999999999999E-3</v>
      </c>
      <c r="E33" s="5" t="s">
        <v>12</v>
      </c>
      <c r="F33" s="5" t="s">
        <v>20</v>
      </c>
    </row>
    <row r="34" spans="2:6" x14ac:dyDescent="0.35">
      <c r="B34" s="5">
        <v>47</v>
      </c>
      <c r="C34" s="10">
        <v>1.87</v>
      </c>
      <c r="D34" s="5">
        <f t="shared" ref="D34:D35" si="1">$C34/1000</f>
        <v>1.8700000000000001E-3</v>
      </c>
      <c r="E34" s="21">
        <v>0.1</v>
      </c>
      <c r="F34" s="21">
        <v>0.02</v>
      </c>
    </row>
    <row r="35" spans="2:6" x14ac:dyDescent="0.35">
      <c r="B35" s="5">
        <v>58</v>
      </c>
      <c r="C35" s="10">
        <v>2.35</v>
      </c>
      <c r="D35" s="5">
        <f t="shared" si="1"/>
        <v>2.3500000000000001E-3</v>
      </c>
      <c r="E35" s="22"/>
      <c r="F35" s="22"/>
    </row>
    <row r="36" spans="2:6" x14ac:dyDescent="0.35">
      <c r="E36" s="18"/>
      <c r="F36" s="18"/>
    </row>
    <row r="37" spans="2:6" x14ac:dyDescent="0.35">
      <c r="E37" s="18"/>
      <c r="F37" s="18"/>
    </row>
    <row r="38" spans="2:6" x14ac:dyDescent="0.35">
      <c r="E38" s="18"/>
      <c r="F38" s="18"/>
    </row>
    <row r="39" spans="2:6" x14ac:dyDescent="0.35">
      <c r="E39" s="18"/>
      <c r="F39" s="18"/>
    </row>
    <row r="40" spans="2:6" x14ac:dyDescent="0.35">
      <c r="E40" s="18"/>
      <c r="F40" s="18"/>
    </row>
    <row r="41" spans="2:6" x14ac:dyDescent="0.35">
      <c r="E41" s="18"/>
      <c r="F41" s="18"/>
    </row>
    <row r="42" spans="2:6" x14ac:dyDescent="0.35">
      <c r="E42" s="18"/>
      <c r="F42" s="18"/>
    </row>
    <row r="43" spans="2:6" x14ac:dyDescent="0.35">
      <c r="E43" s="18"/>
      <c r="F43" s="18"/>
    </row>
    <row r="44" spans="2:6" x14ac:dyDescent="0.35">
      <c r="E44" s="18"/>
      <c r="F44" s="18"/>
    </row>
    <row r="45" spans="2:6" x14ac:dyDescent="0.35">
      <c r="E45" s="18"/>
      <c r="F45" s="18"/>
    </row>
    <row r="46" spans="2:6" x14ac:dyDescent="0.35">
      <c r="E46" s="18"/>
      <c r="F46" s="18"/>
    </row>
    <row r="47" spans="2:6" x14ac:dyDescent="0.35">
      <c r="E47" s="18"/>
      <c r="F47" s="18"/>
    </row>
    <row r="48" spans="2:6" x14ac:dyDescent="0.35">
      <c r="E48" s="18"/>
      <c r="F48" s="18"/>
    </row>
    <row r="49" spans="5:6" x14ac:dyDescent="0.35">
      <c r="E49" s="18"/>
      <c r="F49" s="18"/>
    </row>
    <row r="50" spans="5:6" x14ac:dyDescent="0.35">
      <c r="E50" s="18"/>
      <c r="F50" s="18"/>
    </row>
    <row r="51" spans="5:6" x14ac:dyDescent="0.35">
      <c r="E51" s="18"/>
      <c r="F51" s="18"/>
    </row>
  </sheetData>
  <mergeCells count="9">
    <mergeCell ref="E34:E35"/>
    <mergeCell ref="F34:F35"/>
    <mergeCell ref="L3:L20"/>
    <mergeCell ref="M3:M20"/>
    <mergeCell ref="N3:N20"/>
    <mergeCell ref="G3:G20"/>
    <mergeCell ref="I3:I20"/>
    <mergeCell ref="J3:J20"/>
    <mergeCell ref="K3:K2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2026-06-07T13:56:47Z</dcterms:created>
  <dcterms:modified xsi:type="dcterms:W3CDTF">2026-06-07T13:56:51Z</dcterms:modified>
</cp:coreProperties>
</file>