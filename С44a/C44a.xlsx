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8_{7083DF51-14A5-43B7-8026-A26BB0A976A9}" xr6:coauthVersionLast="47" xr6:coauthVersionMax="47" xr10:uidLastSave="{00000000-0000-0000-0000-000000000000}"/>
  <bookViews>
    <workbookView xWindow="-120" yWindow="-120" windowWidth="29040" windowHeight="15720" xr2:uid="{8DEE70E9-7606-4AE1-9008-BA3F90D61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 a="1"/>
  <c r="D28" i="1" s="1"/>
  <c r="D24" i="1" a="1"/>
  <c r="E24" i="1" s="1"/>
  <c r="G42" i="1"/>
  <c r="G41" i="1"/>
  <c r="G40" i="1"/>
  <c r="D40" i="1"/>
  <c r="D42" i="1"/>
  <c r="D41" i="1"/>
  <c r="J29" i="1"/>
  <c r="J22" i="1"/>
  <c r="H23" i="1"/>
  <c r="G26" i="1"/>
  <c r="K4" i="1"/>
  <c r="K5" i="1"/>
  <c r="K6" i="1"/>
  <c r="K7" i="1"/>
  <c r="K8" i="1"/>
  <c r="K9" i="1"/>
  <c r="K10" i="1"/>
  <c r="K11" i="1"/>
  <c r="K12" i="1"/>
  <c r="K13" i="1"/>
  <c r="K14" i="1"/>
  <c r="K15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3" i="1"/>
  <c r="E29" i="1" l="1"/>
  <c r="D29" i="1"/>
  <c r="E28" i="1"/>
  <c r="D24" i="1"/>
  <c r="E25" i="1"/>
  <c r="D25" i="1"/>
</calcChain>
</file>

<file path=xl/sharedStrings.xml><?xml version="1.0" encoding="utf-8"?>
<sst xmlns="http://schemas.openxmlformats.org/spreadsheetml/2006/main" count="39" uniqueCount="29">
  <si>
    <t>T [C]</t>
  </si>
  <si>
    <t>R1</t>
  </si>
  <si>
    <t>R2</t>
  </si>
  <si>
    <t>R3</t>
  </si>
  <si>
    <t>R4</t>
  </si>
  <si>
    <t>r1 metal pozostale polprzewodniki</t>
  </si>
  <si>
    <t>do analizy wzialem R1 i R3</t>
  </si>
  <si>
    <t>metal</t>
  </si>
  <si>
    <t>półprzewodnik</t>
  </si>
  <si>
    <t>x=(1000/T[K])</t>
  </si>
  <si>
    <t>y=ln(R3)</t>
  </si>
  <si>
    <t>miernik m3850</t>
  </si>
  <si>
    <t>rezystancja</t>
  </si>
  <si>
    <t>(+-)(0,05% rdg + 1*dgt) =</t>
  </si>
  <si>
    <t>średnia oporu</t>
  </si>
  <si>
    <t>temperatura</t>
  </si>
  <si>
    <t>delta T =0,1 [C]</t>
  </si>
  <si>
    <t>u_B(r)=delta/sqrt(3)</t>
  </si>
  <si>
    <t>u_B(T)=delta/sqrt(3)</t>
  </si>
  <si>
    <t>P1</t>
  </si>
  <si>
    <t>P2</t>
  </si>
  <si>
    <t>u</t>
  </si>
  <si>
    <t>x</t>
  </si>
  <si>
    <t>y</t>
  </si>
  <si>
    <t>u(x)</t>
  </si>
  <si>
    <t>u(y)</t>
  </si>
  <si>
    <t>Regresja</t>
  </si>
  <si>
    <t>wsp</t>
  </si>
  <si>
    <t>niepewnośc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</si>
</sst>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0" fontId="0" fillId="0" borderId="2" xfId="0" applyBorder="1" applyAlignment="1">
      <alignment horizontal="center" vertical="center"/>
    </xf>
    <xf numFmtId="2" fontId="0" fillId="0" borderId="2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509580122889384E-2"/>
          <c:y val="0.10686954667882383"/>
          <c:w val="0.89822100612834332"/>
          <c:h val="0.72416200046688517"/>
        </c:manualLayout>
      </c:layout>
      <c:scatterChart>
        <c:scatterStyle val="lineMarker"/>
        <c:varyColors val="0"/>
        <c:ser>
          <c:idx val="0"/>
          <c:order val="0"/>
          <c:tx>
            <c:v>Próbka 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6350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5875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046427432621952"/>
                  <c:y val="-4.042619538887547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0.2303x + 104.03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 w="15875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Sheet1!$G$3:$G$15</c:f>
              <c:numCache>
                <c:formatCode>General</c:formatCode>
                <c:ptCount val="13"/>
                <c:pt idx="0">
                  <c:v>27</c:v>
                </c:pt>
                <c:pt idx="1">
                  <c:v>33</c:v>
                </c:pt>
                <c:pt idx="2">
                  <c:v>38</c:v>
                </c:pt>
                <c:pt idx="3">
                  <c:v>43</c:v>
                </c:pt>
                <c:pt idx="4">
                  <c:v>48</c:v>
                </c:pt>
                <c:pt idx="5">
                  <c:v>53</c:v>
                </c:pt>
                <c:pt idx="6">
                  <c:v>58</c:v>
                </c:pt>
                <c:pt idx="7">
                  <c:v>63</c:v>
                </c:pt>
                <c:pt idx="8">
                  <c:v>68</c:v>
                </c:pt>
                <c:pt idx="9">
                  <c:v>73</c:v>
                </c:pt>
                <c:pt idx="10">
                  <c:v>78</c:v>
                </c:pt>
                <c:pt idx="11">
                  <c:v>80</c:v>
                </c:pt>
                <c:pt idx="12">
                  <c:v>85</c:v>
                </c:pt>
              </c:numCache>
            </c:numRef>
          </c:xVal>
          <c:yVal>
            <c:numRef>
              <c:f>Sheet1!$I$3:$I$15</c:f>
              <c:numCache>
                <c:formatCode>General</c:formatCode>
                <c:ptCount val="13"/>
                <c:pt idx="0">
                  <c:v>110.7</c:v>
                </c:pt>
                <c:pt idx="1">
                  <c:v>112.1</c:v>
                </c:pt>
                <c:pt idx="2">
                  <c:v>113.2</c:v>
                </c:pt>
                <c:pt idx="3">
                  <c:v>113.7</c:v>
                </c:pt>
                <c:pt idx="4">
                  <c:v>114.4</c:v>
                </c:pt>
                <c:pt idx="5">
                  <c:v>115.7</c:v>
                </c:pt>
                <c:pt idx="6">
                  <c:v>117</c:v>
                </c:pt>
                <c:pt idx="7">
                  <c:v>118.2</c:v>
                </c:pt>
                <c:pt idx="8">
                  <c:v>119.5</c:v>
                </c:pt>
                <c:pt idx="9">
                  <c:v>120.7</c:v>
                </c:pt>
                <c:pt idx="10">
                  <c:v>122.1</c:v>
                </c:pt>
                <c:pt idx="11">
                  <c:v>123.1</c:v>
                </c:pt>
                <c:pt idx="12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9D-4A8E-9F96-688DA32747C0}"/>
            </c:ext>
          </c:extLst>
        </c:ser>
        <c:ser>
          <c:idx val="1"/>
          <c:order val="1"/>
          <c:tx>
            <c:v>Pola niepewności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>
                  <a:lumMod val="95000"/>
                  <a:lumOff val="5000"/>
                </a:schemeClr>
              </a:solidFill>
              <a:ln w="1587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5.800000000000001E-2"/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9.2000000000000026E-2"/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Sheet1!$E$34:$E$36</c:f>
              <c:numCache>
                <c:formatCode>General</c:formatCode>
                <c:ptCount val="3"/>
                <c:pt idx="0">
                  <c:v>33</c:v>
                </c:pt>
                <c:pt idx="1">
                  <c:v>58</c:v>
                </c:pt>
                <c:pt idx="2">
                  <c:v>80</c:v>
                </c:pt>
              </c:numCache>
            </c:numRef>
          </c:xVal>
          <c:yVal>
            <c:numRef>
              <c:f>Sheet1!$F$34:$F$36</c:f>
              <c:numCache>
                <c:formatCode>General</c:formatCode>
                <c:ptCount val="3"/>
                <c:pt idx="0">
                  <c:v>112.1</c:v>
                </c:pt>
                <c:pt idx="1">
                  <c:v>117</c:v>
                </c:pt>
                <c:pt idx="2">
                  <c:v>123.1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9D-4A8E-9F96-688DA327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456304"/>
        <c:axId val="331459664"/>
      </c:scatterChart>
      <c:valAx>
        <c:axId val="331456304"/>
        <c:scaling>
          <c:orientation val="minMax"/>
          <c:max val="9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Temperatura t</a:t>
                </a:r>
                <a:r>
                  <a:rPr lang="pl-PL" baseline="0"/>
                  <a:t> [C]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59664"/>
        <c:crosses val="autoZero"/>
        <c:crossBetween val="midCat"/>
      </c:valAx>
      <c:valAx>
        <c:axId val="331459664"/>
        <c:scaling>
          <c:orientation val="minMax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Opór [Ohm]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5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377805243509108E-2"/>
          <c:y val="0.12628073258134451"/>
          <c:w val="0.16685750794597978"/>
          <c:h val="0.16604598261602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Próbka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Próbka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433062891663833E-2"/>
                  <c:y val="-3.0753152075075089E-4"/>
                </c:manualLayout>
              </c:layout>
              <c:numFmt formatCode="General" sourceLinked="0"/>
              <c:spPr>
                <a:noFill/>
                <a:ln w="15875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Sheet1!$H$3:$H$15</c:f>
              <c:numCache>
                <c:formatCode>0.00</c:formatCode>
                <c:ptCount val="13"/>
                <c:pt idx="0">
                  <c:v>3.331667499583542</c:v>
                </c:pt>
                <c:pt idx="1">
                  <c:v>3.2663726931242856</c:v>
                </c:pt>
                <c:pt idx="2">
                  <c:v>3.213883978788366</c:v>
                </c:pt>
                <c:pt idx="3">
                  <c:v>3.1630555116242292</c:v>
                </c:pt>
                <c:pt idx="4">
                  <c:v>3.113809746224506</c:v>
                </c:pt>
                <c:pt idx="5">
                  <c:v>3.0660738923808064</c:v>
                </c:pt>
                <c:pt idx="6">
                  <c:v>3.0197795560924057</c:v>
                </c:pt>
                <c:pt idx="7">
                  <c:v>2.9748624126134167</c:v>
                </c:pt>
                <c:pt idx="8">
                  <c:v>2.9312619082515026</c:v>
                </c:pt>
                <c:pt idx="9">
                  <c:v>2.8889209880109781</c:v>
                </c:pt>
                <c:pt idx="10">
                  <c:v>2.8477858465043431</c:v>
                </c:pt>
                <c:pt idx="11">
                  <c:v>2.8316579357213651</c:v>
                </c:pt>
                <c:pt idx="12">
                  <c:v>2.7921262041044259</c:v>
                </c:pt>
              </c:numCache>
            </c:numRef>
          </c:xVal>
          <c:yVal>
            <c:numRef>
              <c:f>Sheet1!$K$3:$K$15</c:f>
              <c:numCache>
                <c:formatCode>0.00</c:formatCode>
                <c:ptCount val="13"/>
                <c:pt idx="0">
                  <c:v>4.1541845625781173</c:v>
                </c:pt>
                <c:pt idx="1">
                  <c:v>4.0289167568996458</c:v>
                </c:pt>
                <c:pt idx="2">
                  <c:v>3.9259259105971376</c:v>
                </c:pt>
                <c:pt idx="3">
                  <c:v>3.8522730010223722</c:v>
                </c:pt>
                <c:pt idx="4">
                  <c:v>3.7541989202345789</c:v>
                </c:pt>
                <c:pt idx="5">
                  <c:v>3.6661224669913199</c:v>
                </c:pt>
                <c:pt idx="6">
                  <c:v>3.5496173867804286</c:v>
                </c:pt>
                <c:pt idx="7">
                  <c:v>3.4468078929142076</c:v>
                </c:pt>
                <c:pt idx="8">
                  <c:v>3.3568971227655755</c:v>
                </c:pt>
                <c:pt idx="9">
                  <c:v>3.2464909919011742</c:v>
                </c:pt>
                <c:pt idx="10">
                  <c:v>3.1441522786722644</c:v>
                </c:pt>
                <c:pt idx="11">
                  <c:v>3.0819099697950434</c:v>
                </c:pt>
                <c:pt idx="12">
                  <c:v>2.9856819377004897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5-4C9C-8272-9677F2C9FE82}"/>
            </c:ext>
          </c:extLst>
        </c:ser>
        <c:ser>
          <c:idx val="1"/>
          <c:order val="1"/>
          <c:tx>
            <c:v>Pola niepewności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Sheet1!$D$40:$D$42</c:f>
                <c:numCache>
                  <c:formatCode>General</c:formatCode>
                  <c:ptCount val="3"/>
                  <c:pt idx="0">
                    <c:v>6.1881305308250395E-4</c:v>
                  </c:pt>
                  <c:pt idx="1">
                    <c:v>5.2890597690883148E-4</c:v>
                  </c:pt>
                  <c:pt idx="2">
                    <c:v>4.6506062656615941E-4</c:v>
                  </c:pt>
                </c:numCache>
              </c:numRef>
            </c:plus>
            <c:minus>
              <c:numRef>
                <c:f>Sheet1!$D$40:$D$42</c:f>
                <c:numCache>
                  <c:formatCode>General</c:formatCode>
                  <c:ptCount val="3"/>
                  <c:pt idx="0">
                    <c:v>6.1881305308250395E-4</c:v>
                  </c:pt>
                  <c:pt idx="1">
                    <c:v>5.2890597690883148E-4</c:v>
                  </c:pt>
                  <c:pt idx="2">
                    <c:v>4.6506062656615941E-4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Sheet1!$G$40:$G$42</c:f>
                <c:numCache>
                  <c:formatCode>General</c:formatCode>
                  <c:ptCount val="3"/>
                  <c:pt idx="0">
                    <c:v>1.6296355394509257E-3</c:v>
                  </c:pt>
                  <c:pt idx="1">
                    <c:v>2.6317677389983344E-3</c:v>
                  </c:pt>
                  <c:pt idx="2">
                    <c:v>4.2011705191349552E-3</c:v>
                  </c:pt>
                </c:numCache>
              </c:numRef>
            </c:plus>
            <c:minus>
              <c:numRef>
                <c:f>Sheet1!$G$40:$G$42</c:f>
                <c:numCache>
                  <c:formatCode>General</c:formatCode>
                  <c:ptCount val="3"/>
                  <c:pt idx="0">
                    <c:v>1.6296355394509257E-3</c:v>
                  </c:pt>
                  <c:pt idx="1">
                    <c:v>2.6317677389983344E-3</c:v>
                  </c:pt>
                  <c:pt idx="2">
                    <c:v>4.2011705191349552E-3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Sheet1!$E$40:$E$42</c:f>
              <c:numCache>
                <c:formatCode>0.00</c:formatCode>
                <c:ptCount val="3"/>
                <c:pt idx="0">
                  <c:v>3.2663726931242856</c:v>
                </c:pt>
                <c:pt idx="1">
                  <c:v>3.0197795560924057</c:v>
                </c:pt>
                <c:pt idx="2">
                  <c:v>2.8316579357213651</c:v>
                </c:pt>
              </c:numCache>
            </c:numRef>
          </c:xVal>
          <c:yVal>
            <c:numRef>
              <c:f>Sheet1!$F$40:$F$42</c:f>
              <c:numCache>
                <c:formatCode>0.00</c:formatCode>
                <c:ptCount val="3"/>
                <c:pt idx="0">
                  <c:v>4.0289167568996458</c:v>
                </c:pt>
                <c:pt idx="1">
                  <c:v>3.5496173867804286</c:v>
                </c:pt>
                <c:pt idx="2">
                  <c:v>3.0819099697950434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5-4C9C-8272-9677F2C9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128288"/>
        <c:axId val="589728528"/>
      </c:scatterChart>
      <c:valAx>
        <c:axId val="572128288"/>
        <c:scaling>
          <c:orientation val="minMax"/>
          <c:min val="2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1000/T </a:t>
                </a:r>
                <a:r>
                  <a:rPr lang="pl-PL" baseline="0"/>
                  <a:t> [K^-1</a:t>
                </a:r>
                <a:r>
                  <a:rPr lang="pl-PL"/>
                  <a:t>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2816345370614128"/>
              <c:y val="0.9170527356815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28528"/>
        <c:crosses val="autoZero"/>
        <c:crossBetween val="midCat"/>
      </c:valAx>
      <c:valAx>
        <c:axId val="589728528"/>
        <c:scaling>
          <c:orientation val="minMax"/>
          <c:max val="4.3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 R_s</a:t>
                </a:r>
                <a:endParaRPr lang="en-GB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6099664104383293E-2"/>
              <c:y val="0.4418558629153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2828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827494190719318E-2"/>
          <c:y val="0.12422108416424245"/>
          <c:w val="0.16737325825445731"/>
          <c:h val="0.159698894475956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8504</xdr:colOff>
      <xdr:row>0</xdr:row>
      <xdr:rowOff>174452</xdr:rowOff>
    </xdr:from>
    <xdr:to>
      <xdr:col>22</xdr:col>
      <xdr:colOff>238124</xdr:colOff>
      <xdr:row>19</xdr:row>
      <xdr:rowOff>102053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DDEB2-DBDF-737C-868F-DD658C205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34357</xdr:colOff>
      <xdr:row>21</xdr:row>
      <xdr:rowOff>172300</xdr:rowOff>
    </xdr:from>
    <xdr:to>
      <xdr:col>22</xdr:col>
      <xdr:colOff>242206</xdr:colOff>
      <xdr:row>44</xdr:row>
      <xdr:rowOff>74499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389711-99E4-53B4-AA38-F169F5079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012A-FB59-4AF2-B1B0-65C5462F0303}">
  <dimension ref="A1:K42"/>
  <sheetViews>
    <sheetView tabSelected="1" zoomScale="85" zoomScaleNormal="85" workbookViewId="0">
      <selection activeCell="K31" sqref="K31"/>
    </sheetView>
  </sheetViews>
  <sheetFormatPr defaultRowHeight="15" x14ac:dyDescent="0.25"/>
  <cols>
    <col min="8" max="8" width="9.85546875" customWidth="1"/>
    <col min="9" max="10" width="11.57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13" t="s">
        <v>9</v>
      </c>
      <c r="I1" s="2" t="s">
        <v>1</v>
      </c>
      <c r="J1" s="2" t="s">
        <v>3</v>
      </c>
      <c r="K1" s="2" t="s">
        <v>10</v>
      </c>
    </row>
    <row r="2" spans="1:11" x14ac:dyDescent="0.25">
      <c r="A2" s="2">
        <v>27</v>
      </c>
      <c r="B2" s="2">
        <v>110.7</v>
      </c>
      <c r="C2" s="2">
        <v>45.3</v>
      </c>
      <c r="D2" s="2">
        <v>63.7</v>
      </c>
      <c r="E2" s="2">
        <v>102.1</v>
      </c>
      <c r="G2" s="1"/>
      <c r="I2" s="4" t="s">
        <v>7</v>
      </c>
      <c r="J2" s="4" t="s">
        <v>8</v>
      </c>
      <c r="K2" s="2"/>
    </row>
    <row r="3" spans="1:11" x14ac:dyDescent="0.25">
      <c r="A3" s="2">
        <v>33</v>
      </c>
      <c r="B3" s="2">
        <v>112.1</v>
      </c>
      <c r="C3" s="2">
        <v>40.4</v>
      </c>
      <c r="D3" s="2">
        <v>56.2</v>
      </c>
      <c r="E3" s="2">
        <v>90.6</v>
      </c>
      <c r="G3" s="2">
        <v>27</v>
      </c>
      <c r="H3" s="14">
        <f>1000/($G3+273.15)</f>
        <v>3.331667499583542</v>
      </c>
      <c r="I3" s="2">
        <v>110.7</v>
      </c>
      <c r="J3" s="2">
        <v>63.7</v>
      </c>
      <c r="K3" s="6">
        <f>LN($J3)</f>
        <v>4.1541845625781173</v>
      </c>
    </row>
    <row r="4" spans="1:11" x14ac:dyDescent="0.25">
      <c r="A4" s="2">
        <v>38</v>
      </c>
      <c r="B4" s="2">
        <v>113.2</v>
      </c>
      <c r="C4" s="2">
        <v>36.700000000000003</v>
      </c>
      <c r="D4" s="2">
        <v>50.7</v>
      </c>
      <c r="E4" s="2">
        <v>82.5</v>
      </c>
      <c r="G4" s="2">
        <v>33</v>
      </c>
      <c r="H4" s="14">
        <f t="shared" ref="H4:H15" si="0">1000/($G4+273.15)</f>
        <v>3.2663726931242856</v>
      </c>
      <c r="I4" s="2">
        <v>112.1</v>
      </c>
      <c r="J4" s="2">
        <v>56.2</v>
      </c>
      <c r="K4" s="6">
        <f t="shared" ref="K4:K15" si="1">LN($J4)</f>
        <v>4.0289167568996458</v>
      </c>
    </row>
    <row r="5" spans="1:11" x14ac:dyDescent="0.25">
      <c r="A5" s="2">
        <v>43</v>
      </c>
      <c r="B5" s="2">
        <v>113.7</v>
      </c>
      <c r="C5" s="2">
        <v>34.200000000000003</v>
      </c>
      <c r="D5" s="2">
        <v>47.1</v>
      </c>
      <c r="E5" s="2">
        <v>77.2</v>
      </c>
      <c r="G5" s="2">
        <v>38</v>
      </c>
      <c r="H5" s="14">
        <f t="shared" si="0"/>
        <v>3.213883978788366</v>
      </c>
      <c r="I5" s="2">
        <v>113.2</v>
      </c>
      <c r="J5" s="2">
        <v>50.7</v>
      </c>
      <c r="K5" s="6">
        <f t="shared" si="1"/>
        <v>3.9259259105971376</v>
      </c>
    </row>
    <row r="6" spans="1:11" x14ac:dyDescent="0.25">
      <c r="A6" s="2">
        <v>48</v>
      </c>
      <c r="B6" s="2">
        <v>114.4</v>
      </c>
      <c r="C6" s="2">
        <v>31.2</v>
      </c>
      <c r="D6" s="2">
        <v>42.7</v>
      </c>
      <c r="E6" s="2">
        <v>70.599999999999994</v>
      </c>
      <c r="G6" s="2">
        <v>43</v>
      </c>
      <c r="H6" s="14">
        <f t="shared" si="0"/>
        <v>3.1630555116242292</v>
      </c>
      <c r="I6" s="2">
        <v>113.7</v>
      </c>
      <c r="J6" s="2">
        <v>47.1</v>
      </c>
      <c r="K6" s="6">
        <f t="shared" si="1"/>
        <v>3.8522730010223722</v>
      </c>
    </row>
    <row r="7" spans="1:11" x14ac:dyDescent="0.25">
      <c r="A7" s="2">
        <v>53</v>
      </c>
      <c r="B7" s="2">
        <v>115.7</v>
      </c>
      <c r="C7" s="2">
        <v>28.9</v>
      </c>
      <c r="D7" s="2">
        <v>39.1</v>
      </c>
      <c r="E7" s="2">
        <v>64.400000000000006</v>
      </c>
      <c r="G7" s="2">
        <v>48</v>
      </c>
      <c r="H7" s="14">
        <f t="shared" si="0"/>
        <v>3.113809746224506</v>
      </c>
      <c r="I7" s="2">
        <v>114.4</v>
      </c>
      <c r="J7" s="2">
        <v>42.7</v>
      </c>
      <c r="K7" s="6">
        <f t="shared" si="1"/>
        <v>3.7541989202345789</v>
      </c>
    </row>
    <row r="8" spans="1:11" x14ac:dyDescent="0.25">
      <c r="A8" s="2">
        <v>58</v>
      </c>
      <c r="B8" s="2">
        <v>117</v>
      </c>
      <c r="C8" s="2">
        <v>26.2</v>
      </c>
      <c r="D8" s="2">
        <v>34.799999999999997</v>
      </c>
      <c r="E8" s="2">
        <v>58.4</v>
      </c>
      <c r="G8" s="2">
        <v>53</v>
      </c>
      <c r="H8" s="14">
        <f t="shared" si="0"/>
        <v>3.0660738923808064</v>
      </c>
      <c r="I8" s="2">
        <v>115.7</v>
      </c>
      <c r="J8" s="2">
        <v>39.1</v>
      </c>
      <c r="K8" s="6">
        <f t="shared" si="1"/>
        <v>3.6661224669913199</v>
      </c>
    </row>
    <row r="9" spans="1:11" x14ac:dyDescent="0.25">
      <c r="A9" s="2">
        <v>63</v>
      </c>
      <c r="B9" s="2">
        <v>118.2</v>
      </c>
      <c r="C9" s="2">
        <v>23.7</v>
      </c>
      <c r="D9" s="2">
        <v>31.4</v>
      </c>
      <c r="E9" s="2">
        <v>52.7</v>
      </c>
      <c r="G9" s="2">
        <v>58</v>
      </c>
      <c r="H9" s="14">
        <f t="shared" si="0"/>
        <v>3.0197795560924057</v>
      </c>
      <c r="I9" s="2">
        <v>117</v>
      </c>
      <c r="J9" s="2">
        <v>34.799999999999997</v>
      </c>
      <c r="K9" s="6">
        <f t="shared" si="1"/>
        <v>3.5496173867804286</v>
      </c>
    </row>
    <row r="10" spans="1:11" x14ac:dyDescent="0.25">
      <c r="A10" s="2">
        <v>68</v>
      </c>
      <c r="B10" s="2">
        <v>119.5</v>
      </c>
      <c r="C10" s="2">
        <v>21.8</v>
      </c>
      <c r="D10" s="2">
        <v>28.7</v>
      </c>
      <c r="E10" s="2">
        <v>48.3</v>
      </c>
      <c r="G10" s="2">
        <v>63</v>
      </c>
      <c r="H10" s="14">
        <f t="shared" si="0"/>
        <v>2.9748624126134167</v>
      </c>
      <c r="I10" s="2">
        <v>118.2</v>
      </c>
      <c r="J10" s="2">
        <v>31.4</v>
      </c>
      <c r="K10" s="6">
        <f t="shared" si="1"/>
        <v>3.4468078929142076</v>
      </c>
    </row>
    <row r="11" spans="1:11" x14ac:dyDescent="0.25">
      <c r="A11" s="2">
        <v>73</v>
      </c>
      <c r="B11" s="2">
        <v>120.7</v>
      </c>
      <c r="C11" s="2">
        <v>19.8</v>
      </c>
      <c r="D11" s="2">
        <v>25.7</v>
      </c>
      <c r="E11" s="2">
        <v>43.7</v>
      </c>
      <c r="G11" s="2">
        <v>68</v>
      </c>
      <c r="H11" s="14">
        <f t="shared" si="0"/>
        <v>2.9312619082515026</v>
      </c>
      <c r="I11" s="2">
        <v>119.5</v>
      </c>
      <c r="J11" s="2">
        <v>28.7</v>
      </c>
      <c r="K11" s="6">
        <f t="shared" si="1"/>
        <v>3.3568971227655755</v>
      </c>
    </row>
    <row r="12" spans="1:11" x14ac:dyDescent="0.25">
      <c r="A12" s="2">
        <v>78</v>
      </c>
      <c r="B12" s="2">
        <v>122.1</v>
      </c>
      <c r="C12" s="2">
        <v>18.2</v>
      </c>
      <c r="D12" s="2">
        <v>23.2</v>
      </c>
      <c r="E12" s="2">
        <v>39.700000000000003</v>
      </c>
      <c r="G12" s="2">
        <v>73</v>
      </c>
      <c r="H12" s="14">
        <f t="shared" si="0"/>
        <v>2.8889209880109781</v>
      </c>
      <c r="I12" s="2">
        <v>120.7</v>
      </c>
      <c r="J12" s="2">
        <v>25.7</v>
      </c>
      <c r="K12" s="6">
        <f t="shared" si="1"/>
        <v>3.2464909919011742</v>
      </c>
    </row>
    <row r="13" spans="1:11" x14ac:dyDescent="0.25">
      <c r="A13" s="2">
        <v>80</v>
      </c>
      <c r="B13" s="2">
        <v>123.1</v>
      </c>
      <c r="C13" s="2">
        <v>17.3</v>
      </c>
      <c r="D13" s="2">
        <v>21.8</v>
      </c>
      <c r="E13" s="2">
        <v>37.700000000000003</v>
      </c>
      <c r="G13" s="2">
        <v>78</v>
      </c>
      <c r="H13" s="14">
        <f t="shared" si="0"/>
        <v>2.8477858465043431</v>
      </c>
      <c r="I13" s="2">
        <v>122.1</v>
      </c>
      <c r="J13" s="2">
        <v>23.2</v>
      </c>
      <c r="K13" s="6">
        <f t="shared" si="1"/>
        <v>3.1441522786722644</v>
      </c>
    </row>
    <row r="14" spans="1:11" x14ac:dyDescent="0.25">
      <c r="A14" s="2">
        <v>85</v>
      </c>
      <c r="B14" s="2">
        <v>124</v>
      </c>
      <c r="C14" s="2">
        <v>16</v>
      </c>
      <c r="D14" s="2">
        <v>19.8</v>
      </c>
      <c r="E14" s="2">
        <v>34.4</v>
      </c>
      <c r="G14" s="2">
        <v>80</v>
      </c>
      <c r="H14" s="14">
        <f t="shared" si="0"/>
        <v>2.8316579357213651</v>
      </c>
      <c r="I14" s="2">
        <v>123.1</v>
      </c>
      <c r="J14" s="2">
        <v>21.8</v>
      </c>
      <c r="K14" s="6">
        <f t="shared" si="1"/>
        <v>3.0819099697950434</v>
      </c>
    </row>
    <row r="15" spans="1:11" x14ac:dyDescent="0.25">
      <c r="G15" s="2">
        <v>85</v>
      </c>
      <c r="H15" s="14">
        <f t="shared" si="0"/>
        <v>2.7921262041044259</v>
      </c>
      <c r="I15" s="2">
        <v>124</v>
      </c>
      <c r="J15" s="2">
        <v>19.8</v>
      </c>
      <c r="K15" s="6">
        <f t="shared" si="1"/>
        <v>2.9856819377004897</v>
      </c>
    </row>
    <row r="17" spans="1:10" ht="56.25" customHeight="1" x14ac:dyDescent="0.25">
      <c r="A17" s="3" t="s">
        <v>5</v>
      </c>
      <c r="B17" s="3" t="s">
        <v>6</v>
      </c>
    </row>
    <row r="21" spans="1:10" ht="30" x14ac:dyDescent="0.25">
      <c r="G21" s="9" t="s">
        <v>11</v>
      </c>
      <c r="H21" t="s">
        <v>12</v>
      </c>
      <c r="J21" t="s">
        <v>17</v>
      </c>
    </row>
    <row r="22" spans="1:10" x14ac:dyDescent="0.25">
      <c r="D22" t="s">
        <v>22</v>
      </c>
      <c r="E22" t="s">
        <v>23</v>
      </c>
      <c r="H22" t="s">
        <v>13</v>
      </c>
      <c r="J22" s="11">
        <f>H23/SQRT(3)</f>
        <v>9.1585517317142026E-2</v>
      </c>
    </row>
    <row r="23" spans="1:10" x14ac:dyDescent="0.25">
      <c r="C23" s="1"/>
      <c r="D23" s="1" t="s">
        <v>26</v>
      </c>
      <c r="E23" s="1" t="s">
        <v>19</v>
      </c>
      <c r="H23" s="8">
        <f>0.05/100 *$G$26 + 1*0.1</f>
        <v>0.15863076923076924</v>
      </c>
    </row>
    <row r="24" spans="1:10" x14ac:dyDescent="0.25">
      <c r="C24" s="1" t="s">
        <v>27</v>
      </c>
      <c r="D24" s="1">
        <f t="array" ref="D24:E25">LINEST(F34:F36,E34:E36,TRUE,TRUE)</f>
        <v>0.23318264014466544</v>
      </c>
      <c r="E24" s="1">
        <v>104.10858951175406</v>
      </c>
    </row>
    <row r="25" spans="1:10" x14ac:dyDescent="0.25">
      <c r="C25" s="1" t="s">
        <v>28</v>
      </c>
      <c r="D25" s="1">
        <v>2.3334138365982037E-2</v>
      </c>
      <c r="E25" s="1">
        <v>1.4034794013638832</v>
      </c>
      <c r="G25" t="s">
        <v>14</v>
      </c>
    </row>
    <row r="26" spans="1:10" x14ac:dyDescent="0.25">
      <c r="G26" s="7">
        <f>SUM($I3:$I15)/COUNT($I3:$I15)</f>
        <v>117.26153846153845</v>
      </c>
    </row>
    <row r="27" spans="1:10" x14ac:dyDescent="0.25">
      <c r="C27" s="1"/>
      <c r="D27" s="1" t="s">
        <v>26</v>
      </c>
      <c r="E27" s="1" t="s">
        <v>20</v>
      </c>
    </row>
    <row r="28" spans="1:10" x14ac:dyDescent="0.25">
      <c r="C28" s="1" t="s">
        <v>27</v>
      </c>
      <c r="D28" s="1">
        <f t="array" ref="D28:E29">LINEST(F40:F42,E40:E42,TRUE,TRUE)</f>
        <v>2.1665853797260968</v>
      </c>
      <c r="E28" s="1">
        <v>-3.031356709443124</v>
      </c>
      <c r="G28" s="10" t="s">
        <v>15</v>
      </c>
      <c r="H28" t="s">
        <v>16</v>
      </c>
      <c r="J28" t="s">
        <v>18</v>
      </c>
    </row>
    <row r="29" spans="1:10" x14ac:dyDescent="0.25">
      <c r="C29" s="1" t="s">
        <v>28</v>
      </c>
      <c r="D29" s="1">
        <v>0.15285460996986611</v>
      </c>
      <c r="E29" s="1">
        <v>0.46536255520147529</v>
      </c>
      <c r="H29" s="10">
        <v>0.1</v>
      </c>
      <c r="J29" s="11">
        <f>H29/SQRT(3)</f>
        <v>5.7735026918962581E-2</v>
      </c>
    </row>
    <row r="32" spans="1:10" x14ac:dyDescent="0.25">
      <c r="E32" t="s">
        <v>22</v>
      </c>
      <c r="F32" t="s">
        <v>23</v>
      </c>
    </row>
    <row r="33" spans="4:7" x14ac:dyDescent="0.25">
      <c r="E33" t="s">
        <v>19</v>
      </c>
    </row>
    <row r="34" spans="4:7" x14ac:dyDescent="0.25">
      <c r="E34" s="2">
        <v>33</v>
      </c>
      <c r="F34" s="2">
        <v>112.1</v>
      </c>
    </row>
    <row r="35" spans="4:7" x14ac:dyDescent="0.25">
      <c r="E35" s="2">
        <v>58</v>
      </c>
      <c r="F35" s="2">
        <v>117</v>
      </c>
    </row>
    <row r="36" spans="4:7" x14ac:dyDescent="0.25">
      <c r="E36" s="2">
        <v>80</v>
      </c>
      <c r="F36" s="2">
        <v>123.1</v>
      </c>
    </row>
    <row r="37" spans="4:7" x14ac:dyDescent="0.25">
      <c r="D37" s="12" t="s">
        <v>21</v>
      </c>
      <c r="E37" s="11">
        <v>5.7735026918962581E-2</v>
      </c>
      <c r="F37" s="11">
        <v>9.1585517317142026E-2</v>
      </c>
    </row>
    <row r="39" spans="4:7" x14ac:dyDescent="0.25">
      <c r="D39" t="s">
        <v>24</v>
      </c>
      <c r="E39" t="s">
        <v>20</v>
      </c>
      <c r="G39" t="s">
        <v>25</v>
      </c>
    </row>
    <row r="40" spans="4:7" x14ac:dyDescent="0.25">
      <c r="D40" s="12">
        <f>(1000 / ((G4 + 273.15)^2))*0.058</f>
        <v>6.1881305308250395E-4</v>
      </c>
      <c r="E40" s="5">
        <v>3.2663726931242856</v>
      </c>
      <c r="F40" s="6">
        <v>4.0289167568996458</v>
      </c>
      <c r="G40" s="12">
        <f>J22/J4</f>
        <v>1.6296355394509257E-3</v>
      </c>
    </row>
    <row r="41" spans="4:7" x14ac:dyDescent="0.25">
      <c r="D41" s="12">
        <f>(1000 / ((G9 + 273.15)^2))*0.058</f>
        <v>5.2890597690883148E-4</v>
      </c>
      <c r="E41" s="5">
        <v>3.0197795560924057</v>
      </c>
      <c r="F41" s="6">
        <v>3.5496173867804286</v>
      </c>
      <c r="G41" s="12">
        <f>$J$22/J9</f>
        <v>2.6317677389983344E-3</v>
      </c>
    </row>
    <row r="42" spans="4:7" x14ac:dyDescent="0.25">
      <c r="D42" s="12">
        <f>(1000 / ((G14 + 273.15)^2))*0.058</f>
        <v>4.6506062656615941E-4</v>
      </c>
      <c r="E42" s="5">
        <v>2.8316579357213651</v>
      </c>
      <c r="F42" s="6">
        <v>3.0819099697950434</v>
      </c>
      <c r="G42" s="12">
        <f>$J$22/J14</f>
        <v>4.2011705191349552E-3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2026-06-21T12:34:21Z</dcterms:created>
  <dcterms:modified xsi:type="dcterms:W3CDTF">2026-06-21T12:34:46Z</dcterms:modified>
</cp:coreProperties>
</file>